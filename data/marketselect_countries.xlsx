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rkets" sheetId="1" state="visible" r:id="rId2"/>
    <sheet name="assumptions" sheetId="2" state="visible" r:id="rId3"/>
    <sheet name="source" sheetId="3" state="visible" r:id="rId4"/>
    <sheet name="calc" sheetId="4" state="visible" r:id="rId5"/>
    <sheet name="citations" sheetId="5" state="visible" r:id="rId6"/>
  </sheets>
  <definedNames>
    <definedName function="false" hidden="true" localSheetId="3" name="_xlnm._FilterDatabase" vbProcedure="false">calc!$A$4:$L$13</definedName>
    <definedName function="false" hidden="true" localSheetId="0" name="_xlnm._FilterDatabase" vbProcedure="false">markets!$A$1:$I$10</definedName>
    <definedName function="false" hidden="true" localSheetId="2" name="_xlnm._FilterDatabase" vbProcedure="false">source!$A$4:$L$13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<sst xmlns="http://schemas.openxmlformats.org/spreadsheetml/2006/main" count="135" uniqueCount="80">
  <si>
    <t xml:space="preserve">country</t>
  </si>
  <si>
    <t xml:space="preserve">region</t>
  </si>
  <si>
    <t xml:space="preserve">market_size_musd</t>
  </si>
  <si>
    <t xml:space="preserve">cagr</t>
  </si>
  <si>
    <t xml:space="preserve">competition_index</t>
  </si>
  <si>
    <t xml:space="preserve">fixed_cost_musd</t>
  </si>
  <si>
    <t xml:space="preserve">min_spend_musd</t>
  </si>
  <si>
    <t xml:space="preserve">max_spend_musd</t>
  </si>
  <si>
    <t xml:space="preserve">risk_weight</t>
  </si>
  <si>
    <t xml:space="preserve">MarketSelect inputs</t>
  </si>
  <si>
    <t xml:space="preserve">Yellow cells are assumptions, not Statista figures. Change them and the calc sheet updates.</t>
  </si>
  <si>
    <t xml:space="preserve">FX assumption</t>
  </si>
  <si>
    <t xml:space="preserve">USD per 1 unit</t>
  </si>
  <si>
    <t xml:space="preserve">Note</t>
  </si>
  <si>
    <t xml:space="preserve">EUR</t>
  </si>
  <si>
    <t xml:space="preserve">Assumption used for this file. Not a Statista rate and not a live rate.</t>
  </si>
  <si>
    <t xml:space="preserve">GBP</t>
  </si>
  <si>
    <t xml:space="preserve">USD</t>
  </si>
  <si>
    <t xml:space="preserve">Norway file is already in million USD.</t>
  </si>
  <si>
    <t xml:space="preserve">Model assumption</t>
  </si>
  <si>
    <t xml:space="preserve">Value</t>
  </si>
  <si>
    <t xml:space="preserve">Placeholder. No EVs-per-charger file was supplied, so this does not come from Statista.</t>
  </si>
  <si>
    <t xml:space="preserve">min spend share of market</t>
  </si>
  <si>
    <t xml:space="preserve">Floor of 1 million USD. Not from Statista.</t>
  </si>
  <si>
    <t xml:space="preserve">max spend share of market</t>
  </si>
  <si>
    <t xml:space="preserve">Cap so a large market cannot absorb the whole budget by assumption. Not from Statista.</t>
  </si>
  <si>
    <t xml:space="preserve">fixed cost share of min spend</t>
  </si>
  <si>
    <t xml:space="preserve">Entry cost. Not from Statista.</t>
  </si>
  <si>
    <t xml:space="preserve">base risk weight</t>
  </si>
  <si>
    <t xml:space="preserve">Applied to the largest market. Smaller markets get a higher weight.</t>
  </si>
  <si>
    <t xml:space="preserve">small-market risk add-on</t>
  </si>
  <si>
    <t xml:space="preserve">Added as market size falls toward the smallest country.</t>
  </si>
  <si>
    <t xml:space="preserve">Statista source series</t>
  </si>
  <si>
    <t xml:space="preserve">Values are the published series from the uploaded XLS files. Estonia and Latvia are converted from thousand euros to million euros here.</t>
  </si>
  <si>
    <t xml:space="preserve">statista_id</t>
  </si>
  <si>
    <t xml:space="preserve">unit_as_published</t>
  </si>
  <si>
    <t xml:space="preserve">base_year</t>
  </si>
  <si>
    <t xml:space="preserve">forecast_year</t>
  </si>
  <si>
    <t xml:space="preserve">base_local</t>
  </si>
  <si>
    <t xml:space="preserve">forecast_local</t>
  </si>
  <si>
    <t xml:space="preserve">local_unit</t>
  </si>
  <si>
    <t xml:space="preserve">fx_code</t>
  </si>
  <si>
    <t xml:space="preserve">years</t>
  </si>
  <si>
    <t xml:space="preserve">url</t>
  </si>
  <si>
    <t xml:space="preserve">United Kingdom</t>
  </si>
  <si>
    <t xml:space="preserve">Europe</t>
  </si>
  <si>
    <t xml:space="preserve">million GBP</t>
  </si>
  <si>
    <t xml:space="preserve">Norway</t>
  </si>
  <si>
    <t xml:space="preserve">million USD</t>
  </si>
  <si>
    <t xml:space="preserve">Spain</t>
  </si>
  <si>
    <t xml:space="preserve">million EUR</t>
  </si>
  <si>
    <t xml:space="preserve">Finland</t>
  </si>
  <si>
    <t xml:space="preserve">Germany</t>
  </si>
  <si>
    <t xml:space="preserve">Estonia</t>
  </si>
  <si>
    <t xml:space="preserve">thousand EUR</t>
  </si>
  <si>
    <t xml:space="preserve">Latvia</t>
  </si>
  <si>
    <t xml:space="preserve">Iceland</t>
  </si>
  <si>
    <t xml:space="preserve">Denmark</t>
  </si>
  <si>
    <t xml:space="preserve">Model panel, formula-driven</t>
  </si>
  <si>
    <t xml:space="preserve">Upload the markets sheet to the app. This sheet is the audit trail. CAGR uses the base year and forecast year on the source sheet, which are not the same for every country.</t>
  </si>
  <si>
    <t xml:space="preserve">Citations</t>
  </si>
  <si>
    <t xml:space="preserve">Source for every revenue figure: Statista Mobility Market Insights, via the statistic id below. Do not cite the spend bounds or competition index as Statista.</t>
  </si>
  <si>
    <t xml:space="preserve">statistic_title</t>
  </si>
  <si>
    <t xml:space="preserve">unit</t>
  </si>
  <si>
    <t xml:space="preserve">base_to_forecast</t>
  </si>
  <si>
    <t xml:space="preserve">publication</t>
  </si>
  <si>
    <t xml:space="preserve">Projected electric vehicle charging station revenue in the United Kingdom between 2016 and 2029</t>
  </si>
  <si>
    <t xml:space="preserve">Nov 2024</t>
  </si>
  <si>
    <t xml:space="preserve">Projected electric vehicle charging station revenue in Norway between 2016 and 2029</t>
  </si>
  <si>
    <t xml:space="preserve">Aug 2024</t>
  </si>
  <si>
    <t xml:space="preserve">Public charging station revenue in Spain between 2016 and 2022, with a forecast through 2028</t>
  </si>
  <si>
    <t xml:space="preserve">Aug 2023</t>
  </si>
  <si>
    <t xml:space="preserve">Revenue from public electric vehicle charging stations in Finland from 2016 to 2023, with a forecast through 2029</t>
  </si>
  <si>
    <t xml:space="preserve">Projected public electric vehicle charging station revenue in Germany between 2016 and 2028</t>
  </si>
  <si>
    <t xml:space="preserve">Projected public electric vehicle charging station revenue in Estonia between 2016 and 2029</t>
  </si>
  <si>
    <t xml:space="preserve">Jul 2024</t>
  </si>
  <si>
    <t xml:space="preserve">Projected public electric vehicle charging station revenue in Latvia between 2016 and 2029</t>
  </si>
  <si>
    <t xml:space="preserve">Projected public electric vehicle charging revenue in Iceland between 2016 and 2029</t>
  </si>
  <si>
    <t xml:space="preserve">Oct 2024</t>
  </si>
  <si>
    <t xml:space="preserve">Projected public electric vehicle charging revenue in Denmark between 2016 and 2029</t>
  </si>
</sst>
</file>

<file path=xl/styles.xml><?xml version="1.0" encoding="utf-8"?>
<styleSheet xmlns="http://schemas.openxmlformats.org/spreadsheetml/2006/main">
  <numFmts count="6">
    <numFmt numFmtId="164" formatCode="General"/>
    <numFmt numFmtId="165" formatCode="#,##0.00"/>
    <numFmt numFmtId="166" formatCode="0.0%"/>
    <numFmt numFmtId="167" formatCode="0.00"/>
    <numFmt numFmtId="168" formatCode="0"/>
    <numFmt numFmtId="169" formatCode="General"/>
  </numFmts>
  <fonts count="13">
    <font>
      <sz val="11"/>
      <color rgb="FF000000"/>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008000"/>
      <name val="Arial"/>
      <family val="0"/>
      <charset val="1"/>
    </font>
    <font>
      <b val="true"/>
      <sz val="14"/>
      <color rgb="FF1F4E79"/>
      <name val="Arial"/>
      <family val="0"/>
      <charset val="1"/>
    </font>
    <font>
      <i val="true"/>
      <sz val="9"/>
      <color rgb="FF595959"/>
      <name val="Arial"/>
      <family val="0"/>
      <charset val="1"/>
    </font>
    <font>
      <sz val="1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9"/>
        <bgColor rgb="FF003366"/>
      </patternFill>
    </fill>
    <fill>
      <patternFill patternType="solid">
        <fgColor rgb="FFE2EFDA"/>
        <bgColor rgb="FFD9D9D9"/>
      </patternFill>
    </fill>
    <fill>
      <patternFill patternType="solid">
        <fgColor rgb="FFFFFF99"/>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9"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9" fillId="4"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8" fontId="9" fillId="4" borderId="1" xfId="0" applyFont="true" applyBorder="true" applyAlignment="true" applyProtection="false">
      <alignment horizontal="general" vertical="center" textRotation="0" wrapText="false" indent="0" shrinkToFit="false"/>
      <protection locked="true" hidden="false"/>
    </xf>
    <xf numFmtId="165" fontId="9" fillId="4" borderId="1" xfId="0" applyFont="true" applyBorder="true" applyAlignment="true" applyProtection="false">
      <alignment horizontal="general" vertical="center" textRotation="0" wrapText="false" indent="0" shrinkToFit="false"/>
      <protection locked="true" hidden="false"/>
    </xf>
    <xf numFmtId="169" fontId="8" fillId="3"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8" fontId="5"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patternFill>
      </fill>
    </dxf>
    <dxf>
      <fill>
        <patternFill patternType="solid">
          <fgColor rgb="FFE2EFDA"/>
        </patternFill>
      </fill>
    </dxf>
    <dxf>
      <fill>
        <patternFill patternType="solid">
          <fgColor rgb="FF008000"/>
        </patternFill>
      </fill>
    </dxf>
    <dxf>
      <fill>
        <patternFill patternType="solid">
          <fgColor rgb="FFFFFFFF"/>
        </patternFill>
      </fill>
    </dxf>
    <dxf>
      <fill>
        <patternFill patternType="solid">
          <fgColor rgb="FFFFFF99"/>
        </patternFill>
      </fill>
    </dxf>
    <dxf>
      <fill>
        <patternFill patternType="solid">
          <fgColor rgb="FF0000FF"/>
        </patternFill>
      </fill>
    </dxf>
    <dxf>
      <fill>
        <patternFill patternType="solid">
          <fgColor rgb="00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2028/29 public charging revenue, million USD</a:t>
            </a:r>
          </a:p>
        </c:rich>
      </c:tx>
      <c:overlay val="0"/>
      <c:spPr>
        <a:noFill/>
        <a:ln w="0">
          <a:noFill/>
        </a:ln>
      </c:spPr>
    </c:title>
    <c:autoTitleDeleted val="0"/>
    <c:plotArea>
      <c:barChart>
        <c:barDir val="col"/>
        <c:grouping val="clustered"/>
        <c:varyColors val="0"/>
        <c:ser>
          <c:idx val="0"/>
          <c:order val="0"/>
          <c:tx>
            <c:strRef>
              <c:f>calc!C4</c:f>
              <c:strCache>
                <c:ptCount val="1"/>
                <c:pt idx="0">
                  <c:v>market_size_musd</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calc!$A$5:$A$13</c:f>
              <c:strCache>
                <c:ptCount val="9"/>
                <c:pt idx="0">
                  <c:v>United Kingdom</c:v>
                </c:pt>
                <c:pt idx="1">
                  <c:v>Norway</c:v>
                </c:pt>
                <c:pt idx="2">
                  <c:v>Spain</c:v>
                </c:pt>
                <c:pt idx="3">
                  <c:v>Finland</c:v>
                </c:pt>
                <c:pt idx="4">
                  <c:v>Germany</c:v>
                </c:pt>
                <c:pt idx="5">
                  <c:v>Estonia</c:v>
                </c:pt>
                <c:pt idx="6">
                  <c:v>Latvia</c:v>
                </c:pt>
                <c:pt idx="7">
                  <c:v>Iceland</c:v>
                </c:pt>
                <c:pt idx="8">
                  <c:v>Denmark</c:v>
                </c:pt>
              </c:strCache>
            </c:strRef>
          </c:cat>
          <c:val>
            <c:numRef>
              <c:f>calc!$C$5:$C$13</c:f>
              <c:numCache>
                <c:formatCode>General</c:formatCode>
                <c:ptCount val="9"/>
                <c:pt idx="0">
                  <c:v>811.657</c:v>
                </c:pt>
                <c:pt idx="1">
                  <c:v>324.3</c:v>
                </c:pt>
                <c:pt idx="2">
                  <c:v>113.94</c:v>
                </c:pt>
                <c:pt idx="3">
                  <c:v>93.258</c:v>
                </c:pt>
                <c:pt idx="4">
                  <c:v>2860.92</c:v>
                </c:pt>
                <c:pt idx="5">
                  <c:v>7.70796</c:v>
                </c:pt>
                <c:pt idx="6">
                  <c:v>6.9336</c:v>
                </c:pt>
                <c:pt idx="7">
                  <c:v>21.438</c:v>
                </c:pt>
                <c:pt idx="8">
                  <c:v>254.988</c:v>
                </c:pt>
              </c:numCache>
            </c:numRef>
          </c:val>
        </c:ser>
        <c:gapWidth val="150"/>
        <c:overlap val="0"/>
        <c:axId val="71609230"/>
        <c:axId val="33981032"/>
      </c:barChart>
      <c:catAx>
        <c:axId val="7160923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981032"/>
        <c:crosses val="autoZero"/>
        <c:auto val="1"/>
        <c:lblAlgn val="ctr"/>
        <c:lblOffset val="100"/>
        <c:noMultiLvlLbl val="0"/>
      </c:catAx>
      <c:valAx>
        <c:axId val="3398103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Million USD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092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4</xdr:col>
      <xdr:colOff>1263240</xdr:colOff>
      <xdr:row>30</xdr:row>
      <xdr:rowOff>21960</xdr:rowOff>
    </xdr:to>
    <xdr:graphicFrame>
      <xdr:nvGraphicFramePr>
        <xdr:cNvPr id="0" name="Chart 1"/>
        <xdr:cNvGraphicFramePr/>
      </xdr:nvGraphicFramePr>
      <xdr:xfrm>
        <a:off x="0" y="3067200"/>
        <a:ext cx="647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9" min="2"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tr">
        <f aca="false">calc!A5</f>
        <v>United Kingdom</v>
      </c>
      <c r="B2" s="2" t="str">
        <f aca="false">calc!B5</f>
        <v>Europe</v>
      </c>
      <c r="C2" s="3" t="n">
        <f aca="false">calc!C5</f>
        <v>811.657</v>
      </c>
      <c r="D2" s="4" t="n">
        <f aca="false">calc!D5</f>
        <v>0.254197538609248</v>
      </c>
      <c r="E2" s="5" t="n">
        <f aca="false">calc!E5</f>
        <v>0.5</v>
      </c>
      <c r="F2" s="3" t="n">
        <f aca="false">calc!F5</f>
        <v>16.23314</v>
      </c>
      <c r="G2" s="3" t="n">
        <f aca="false">calc!G5</f>
        <v>64.93256</v>
      </c>
      <c r="H2" s="3" t="n">
        <f aca="false">calc!H5</f>
        <v>284.07995</v>
      </c>
      <c r="I2" s="5" t="n">
        <f aca="false">calc!I5</f>
        <v>0.58651804314696</v>
      </c>
    </row>
    <row r="3" customFormat="false" ht="15" hidden="false" customHeight="false" outlineLevel="0" collapsed="false">
      <c r="A3" s="2" t="str">
        <f aca="false">calc!A6</f>
        <v>Norway</v>
      </c>
      <c r="B3" s="2" t="str">
        <f aca="false">calc!B6</f>
        <v>Europe</v>
      </c>
      <c r="C3" s="3" t="n">
        <f aca="false">calc!C6</f>
        <v>324.3</v>
      </c>
      <c r="D3" s="4" t="n">
        <f aca="false">calc!D6</f>
        <v>0.198546637333201</v>
      </c>
      <c r="E3" s="5" t="n">
        <f aca="false">calc!E6</f>
        <v>0.5</v>
      </c>
      <c r="F3" s="3" t="n">
        <f aca="false">calc!F6</f>
        <v>6.486</v>
      </c>
      <c r="G3" s="3" t="n">
        <f aca="false">calc!G6</f>
        <v>25.944</v>
      </c>
      <c r="H3" s="3" t="n">
        <f aca="false">calc!H6</f>
        <v>113.505</v>
      </c>
      <c r="I3" s="5" t="n">
        <f aca="false">calc!I6</f>
        <v>0.654657942200411</v>
      </c>
    </row>
    <row r="4" customFormat="false" ht="15" hidden="false" customHeight="false" outlineLevel="0" collapsed="false">
      <c r="A4" s="2" t="str">
        <f aca="false">calc!A7</f>
        <v>Spain</v>
      </c>
      <c r="B4" s="2" t="str">
        <f aca="false">calc!B7</f>
        <v>Europe</v>
      </c>
      <c r="C4" s="3" t="n">
        <f aca="false">calc!C7</f>
        <v>113.94</v>
      </c>
      <c r="D4" s="4" t="n">
        <f aca="false">calc!D7</f>
        <v>0.409575564718173</v>
      </c>
      <c r="E4" s="5" t="n">
        <f aca="false">calc!E7</f>
        <v>0.5</v>
      </c>
      <c r="F4" s="3" t="n">
        <f aca="false">calc!F7</f>
        <v>2.2788</v>
      </c>
      <c r="G4" s="3" t="n">
        <f aca="false">calc!G7</f>
        <v>9.1152</v>
      </c>
      <c r="H4" s="3" t="n">
        <f aca="false">calc!H7</f>
        <v>39.879</v>
      </c>
      <c r="I4" s="5" t="n">
        <f aca="false">calc!I7</f>
        <v>0.68406946017365</v>
      </c>
    </row>
    <row r="5" customFormat="false" ht="15" hidden="false" customHeight="false" outlineLevel="0" collapsed="false">
      <c r="A5" s="2" t="str">
        <f aca="false">calc!A8</f>
        <v>Finland</v>
      </c>
      <c r="B5" s="2" t="str">
        <f aca="false">calc!B8</f>
        <v>Europe</v>
      </c>
      <c r="C5" s="3" t="n">
        <f aca="false">calc!C8</f>
        <v>93.258</v>
      </c>
      <c r="D5" s="4" t="n">
        <f aca="false">calc!D8</f>
        <v>0.352294476664658</v>
      </c>
      <c r="E5" s="5" t="n">
        <f aca="false">calc!E8</f>
        <v>0.5</v>
      </c>
      <c r="F5" s="3" t="n">
        <f aca="false">calc!F8</f>
        <v>1.86516</v>
      </c>
      <c r="G5" s="3" t="n">
        <f aca="false">calc!G8</f>
        <v>7.46064</v>
      </c>
      <c r="H5" s="3" t="n">
        <f aca="false">calc!H8</f>
        <v>32.6403</v>
      </c>
      <c r="I5" s="5" t="n">
        <f aca="false">calc!I8</f>
        <v>0.686961117402794</v>
      </c>
    </row>
    <row r="6" customFormat="false" ht="15" hidden="false" customHeight="false" outlineLevel="0" collapsed="false">
      <c r="A6" s="2" t="str">
        <f aca="false">calc!A9</f>
        <v>Germany</v>
      </c>
      <c r="B6" s="2" t="str">
        <f aca="false">calc!B9</f>
        <v>Europe</v>
      </c>
      <c r="C6" s="3" t="n">
        <f aca="false">calc!C9</f>
        <v>2860.92</v>
      </c>
      <c r="D6" s="4" t="n">
        <f aca="false">calc!D9</f>
        <v>0.337193047356412</v>
      </c>
      <c r="E6" s="5" t="n">
        <f aca="false">calc!E9</f>
        <v>0.5</v>
      </c>
      <c r="F6" s="3" t="n">
        <f aca="false">calc!F9</f>
        <v>57.2184</v>
      </c>
      <c r="G6" s="3" t="n">
        <f aca="false">calc!G9</f>
        <v>228.8736</v>
      </c>
      <c r="H6" s="3" t="n">
        <f aca="false">calc!H9</f>
        <v>1001.322</v>
      </c>
      <c r="I6" s="5" t="n">
        <f aca="false">calc!I9</f>
        <v>0.3</v>
      </c>
    </row>
    <row r="7" customFormat="false" ht="15" hidden="false" customHeight="false" outlineLevel="0" collapsed="false">
      <c r="A7" s="2" t="str">
        <f aca="false">calc!A10</f>
        <v>Estonia</v>
      </c>
      <c r="B7" s="2" t="str">
        <f aca="false">calc!B10</f>
        <v>Europe</v>
      </c>
      <c r="C7" s="3" t="n">
        <f aca="false">calc!C10</f>
        <v>7.70796</v>
      </c>
      <c r="D7" s="4" t="n">
        <f aca="false">calc!D10</f>
        <v>0.589464067941792</v>
      </c>
      <c r="E7" s="5" t="n">
        <f aca="false">calc!E10</f>
        <v>0.5</v>
      </c>
      <c r="F7" s="3" t="n">
        <f aca="false">calc!F10</f>
        <v>0.25</v>
      </c>
      <c r="G7" s="3" t="n">
        <f aca="false">calc!G10</f>
        <v>1</v>
      </c>
      <c r="H7" s="3" t="n">
        <f aca="false">calc!H10</f>
        <v>2.697786</v>
      </c>
      <c r="I7" s="5" t="n">
        <f aca="false">calc!I10</f>
        <v>0.698922310305776</v>
      </c>
    </row>
    <row r="8" customFormat="false" ht="15" hidden="false" customHeight="false" outlineLevel="0" collapsed="false">
      <c r="A8" s="2" t="str">
        <f aca="false">calc!A11</f>
        <v>Latvia</v>
      </c>
      <c r="B8" s="2" t="str">
        <f aca="false">calc!B11</f>
        <v>Europe</v>
      </c>
      <c r="C8" s="3" t="n">
        <f aca="false">calc!C11</f>
        <v>6.9336</v>
      </c>
      <c r="D8" s="4" t="n">
        <f aca="false">calc!D11</f>
        <v>0.59453405182357</v>
      </c>
      <c r="E8" s="5" t="n">
        <f aca="false">calc!E11</f>
        <v>0.5</v>
      </c>
      <c r="F8" s="3" t="n">
        <f aca="false">calc!F11</f>
        <v>0.25</v>
      </c>
      <c r="G8" s="3" t="n">
        <f aca="false">calc!G11</f>
        <v>1</v>
      </c>
      <c r="H8" s="3" t="n">
        <f aca="false">calc!H11</f>
        <v>2.42676</v>
      </c>
      <c r="I8" s="5" t="n">
        <f aca="false">calc!I11</f>
        <v>0.699030577576444</v>
      </c>
    </row>
    <row r="9" customFormat="false" ht="15" hidden="false" customHeight="false" outlineLevel="0" collapsed="false">
      <c r="A9" s="2" t="str">
        <f aca="false">calc!A12</f>
        <v>Iceland</v>
      </c>
      <c r="B9" s="2" t="str">
        <f aca="false">calc!B12</f>
        <v>Europe</v>
      </c>
      <c r="C9" s="3" t="n">
        <f aca="false">calc!C12</f>
        <v>21.438</v>
      </c>
      <c r="D9" s="4" t="n">
        <f aca="false">calc!D12</f>
        <v>0.252969571779648</v>
      </c>
      <c r="E9" s="5" t="n">
        <f aca="false">calc!E12</f>
        <v>0.5</v>
      </c>
      <c r="F9" s="3" t="n">
        <f aca="false">calc!F12</f>
        <v>0.42876</v>
      </c>
      <c r="G9" s="3" t="n">
        <f aca="false">calc!G12</f>
        <v>1.71504</v>
      </c>
      <c r="H9" s="3" t="n">
        <f aca="false">calc!H12</f>
        <v>7.5033</v>
      </c>
      <c r="I9" s="5" t="n">
        <f aca="false">calc!I12</f>
        <v>0.697002642506606</v>
      </c>
    </row>
    <row r="10" customFormat="false" ht="15" hidden="false" customHeight="false" outlineLevel="0" collapsed="false">
      <c r="A10" s="2" t="str">
        <f aca="false">calc!A13</f>
        <v>Denmark</v>
      </c>
      <c r="B10" s="2" t="str">
        <f aca="false">calc!B13</f>
        <v>Europe</v>
      </c>
      <c r="C10" s="3" t="n">
        <f aca="false">calc!C13</f>
        <v>254.988</v>
      </c>
      <c r="D10" s="4" t="n">
        <f aca="false">calc!D13</f>
        <v>0.310637984773728</v>
      </c>
      <c r="E10" s="5" t="n">
        <f aca="false">calc!E13</f>
        <v>0.5</v>
      </c>
      <c r="F10" s="3" t="n">
        <f aca="false">calc!F13</f>
        <v>5.09976</v>
      </c>
      <c r="G10" s="3" t="n">
        <f aca="false">calc!G13</f>
        <v>20.39904</v>
      </c>
      <c r="H10" s="3" t="n">
        <f aca="false">calc!H13</f>
        <v>89.2458</v>
      </c>
      <c r="I10" s="5" t="n">
        <f aca="false">calc!I13</f>
        <v>0.664348810872027</v>
      </c>
    </row>
  </sheetData>
  <autoFilter ref="A1:I10"/>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&amp;LMarketSelect</oddHeader>
    <oddFooter>&amp;RPage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6" width="34"/>
    <col collapsed="false" customWidth="true" hidden="false" outlineLevel="0" max="2" min="2" style="6" width="18"/>
    <col collapsed="false" customWidth="true" hidden="false" outlineLevel="0" max="3" min="3" style="6" width="88"/>
  </cols>
  <sheetData>
    <row r="1" customFormat="false" ht="15" hidden="false" customHeight="true" outlineLevel="0" collapsed="false">
      <c r="A1" s="7" t="s">
        <v>9</v>
      </c>
    </row>
    <row r="2" customFormat="false" ht="31.5" hidden="false" customHeight="true" outlineLevel="0" collapsed="false">
      <c r="A2" s="8" t="s">
        <v>10</v>
      </c>
      <c r="B2" s="8"/>
      <c r="C2" s="8"/>
    </row>
    <row r="4" customFormat="false" ht="15" hidden="false" customHeight="true" outlineLevel="0" collapsed="false">
      <c r="A4" s="9" t="s">
        <v>11</v>
      </c>
      <c r="B4" s="9" t="s">
        <v>12</v>
      </c>
      <c r="C4" s="9" t="s">
        <v>13</v>
      </c>
    </row>
    <row r="5" customFormat="false" ht="15" hidden="false" customHeight="true" outlineLevel="0" collapsed="false">
      <c r="A5" s="10" t="s">
        <v>14</v>
      </c>
      <c r="B5" s="11" t="n">
        <v>1.08</v>
      </c>
      <c r="C5" s="12" t="s">
        <v>15</v>
      </c>
    </row>
    <row r="6" customFormat="false" ht="15" hidden="false" customHeight="true" outlineLevel="0" collapsed="false">
      <c r="A6" s="10" t="s">
        <v>16</v>
      </c>
      <c r="B6" s="11" t="n">
        <v>1.27</v>
      </c>
      <c r="C6" s="12" t="s">
        <v>15</v>
      </c>
    </row>
    <row r="7" customFormat="false" ht="15" hidden="false" customHeight="true" outlineLevel="0" collapsed="false">
      <c r="A7" s="10" t="s">
        <v>17</v>
      </c>
      <c r="B7" s="11" t="n">
        <v>1</v>
      </c>
      <c r="C7" s="12" t="s">
        <v>18</v>
      </c>
    </row>
    <row r="9" customFormat="false" ht="15" hidden="false" customHeight="true" outlineLevel="0" collapsed="false">
      <c r="A9" s="9" t="s">
        <v>19</v>
      </c>
      <c r="B9" s="9" t="s">
        <v>20</v>
      </c>
      <c r="C9" s="9" t="s">
        <v>13</v>
      </c>
    </row>
    <row r="10" customFormat="false" ht="15" hidden="false" customHeight="true" outlineLevel="0" collapsed="false">
      <c r="A10" s="10" t="s">
        <v>4</v>
      </c>
      <c r="B10" s="11" t="n">
        <v>0.5</v>
      </c>
      <c r="C10" s="12" t="s">
        <v>21</v>
      </c>
    </row>
    <row r="11" customFormat="false" ht="15" hidden="false" customHeight="true" outlineLevel="0" collapsed="false">
      <c r="A11" s="10" t="s">
        <v>22</v>
      </c>
      <c r="B11" s="13" t="n">
        <v>0.08</v>
      </c>
      <c r="C11" s="12" t="s">
        <v>23</v>
      </c>
    </row>
    <row r="12" customFormat="false" ht="15" hidden="false" customHeight="true" outlineLevel="0" collapsed="false">
      <c r="A12" s="10" t="s">
        <v>24</v>
      </c>
      <c r="B12" s="13" t="n">
        <v>0.35</v>
      </c>
      <c r="C12" s="12" t="s">
        <v>25</v>
      </c>
    </row>
    <row r="13" customFormat="false" ht="15" hidden="false" customHeight="true" outlineLevel="0" collapsed="false">
      <c r="A13" s="10" t="s">
        <v>26</v>
      </c>
      <c r="B13" s="13" t="n">
        <v>0.25</v>
      </c>
      <c r="C13" s="12" t="s">
        <v>27</v>
      </c>
    </row>
    <row r="14" customFormat="false" ht="15" hidden="false" customHeight="true" outlineLevel="0" collapsed="false">
      <c r="A14" s="10" t="s">
        <v>28</v>
      </c>
      <c r="B14" s="11" t="n">
        <v>0.3</v>
      </c>
      <c r="C14" s="12" t="s">
        <v>29</v>
      </c>
    </row>
    <row r="15" customFormat="false" ht="15" hidden="false" customHeight="true" outlineLevel="0" collapsed="false">
      <c r="A15" s="10" t="s">
        <v>30</v>
      </c>
      <c r="B15" s="11" t="n">
        <v>0.4</v>
      </c>
      <c r="C15" s="12" t="s">
        <v>31</v>
      </c>
    </row>
  </sheetData>
  <mergeCells count="1">
    <mergeCell ref="A2:C2"/>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&amp;LMarketSelect country panel</oddHeader>
    <oddFooter>&amp;RPage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6" width="20"/>
    <col collapsed="false" customWidth="true" hidden="false" outlineLevel="0" max="2" min="2" style="6" width="12"/>
    <col collapsed="false" customWidth="true" hidden="false" outlineLevel="0" max="3" min="3" style="6" width="14"/>
    <col collapsed="false" customWidth="true" hidden="false" outlineLevel="0" max="4" min="4" style="6" width="20"/>
    <col collapsed="false" customWidth="true" hidden="false" outlineLevel="0" max="5" min="5" style="6" width="12"/>
    <col collapsed="false" customWidth="true" hidden="false" outlineLevel="0" max="6" min="6" style="6" width="16"/>
    <col collapsed="false" customWidth="true" hidden="false" outlineLevel="0" max="7" min="7" style="6" width="14"/>
    <col collapsed="false" customWidth="true" hidden="false" outlineLevel="0" max="9" min="8" style="6" width="16"/>
    <col collapsed="false" customWidth="true" hidden="false" outlineLevel="0" max="10" min="10" style="6" width="12"/>
    <col collapsed="false" customWidth="true" hidden="false" outlineLevel="0" max="11" min="11" style="6" width="10"/>
    <col collapsed="false" customWidth="true" hidden="false" outlineLevel="0" max="12" min="12" style="6" width="46"/>
  </cols>
  <sheetData>
    <row r="1" customFormat="false" ht="15" hidden="false" customHeight="true" outlineLevel="0" collapsed="false">
      <c r="A1" s="7" t="s">
        <v>32</v>
      </c>
    </row>
    <row r="2" customFormat="false" ht="31.5" hidden="false" customHeight="true" outlineLevel="0" collapsed="false">
      <c r="A2" s="8" t="s">
        <v>33</v>
      </c>
      <c r="B2" s="8"/>
      <c r="C2" s="8"/>
      <c r="D2" s="8"/>
      <c r="E2" s="8"/>
      <c r="F2" s="8"/>
      <c r="G2" s="8"/>
      <c r="H2" s="8"/>
      <c r="I2" s="8"/>
      <c r="J2" s="8"/>
      <c r="K2" s="8"/>
      <c r="L2" s="8"/>
    </row>
    <row r="4" customFormat="false" ht="15" hidden="false" customHeight="true" outlineLevel="0" collapsed="false">
      <c r="A4" s="14" t="s">
        <v>0</v>
      </c>
      <c r="B4" s="14" t="s">
        <v>1</v>
      </c>
      <c r="C4" s="14" t="s">
        <v>34</v>
      </c>
      <c r="D4" s="14" t="s">
        <v>35</v>
      </c>
      <c r="E4" s="14" t="s">
        <v>36</v>
      </c>
      <c r="F4" s="14" t="s">
        <v>37</v>
      </c>
      <c r="G4" s="14" t="s">
        <v>38</v>
      </c>
      <c r="H4" s="14" t="s">
        <v>39</v>
      </c>
      <c r="I4" s="14" t="s">
        <v>40</v>
      </c>
      <c r="J4" s="14" t="s">
        <v>41</v>
      </c>
      <c r="K4" s="14" t="s">
        <v>42</v>
      </c>
      <c r="L4" s="14" t="s">
        <v>43</v>
      </c>
    </row>
    <row r="5" customFormat="false" ht="15" hidden="false" customHeight="true" outlineLevel="0" collapsed="false">
      <c r="A5" s="15" t="s">
        <v>44</v>
      </c>
      <c r="B5" s="15" t="s">
        <v>45</v>
      </c>
      <c r="C5" s="16" t="n">
        <v>1411503</v>
      </c>
      <c r="D5" s="15" t="s">
        <v>46</v>
      </c>
      <c r="E5" s="16" t="n">
        <v>2023</v>
      </c>
      <c r="F5" s="16" t="n">
        <v>2029</v>
      </c>
      <c r="G5" s="17" t="n">
        <v>164.2</v>
      </c>
      <c r="H5" s="17" t="n">
        <v>639.1</v>
      </c>
      <c r="I5" s="15" t="s">
        <v>46</v>
      </c>
      <c r="J5" s="15" t="s">
        <v>16</v>
      </c>
      <c r="K5" s="18" t="n">
        <f aca="false">F5-E5</f>
        <v>6</v>
      </c>
    </row>
    <row r="6" customFormat="false" ht="15" hidden="false" customHeight="true" outlineLevel="0" collapsed="false">
      <c r="A6" s="15" t="s">
        <v>47</v>
      </c>
      <c r="B6" s="15" t="s">
        <v>45</v>
      </c>
      <c r="C6" s="16" t="n">
        <v>1413409</v>
      </c>
      <c r="D6" s="15" t="s">
        <v>48</v>
      </c>
      <c r="E6" s="16" t="n">
        <v>2023</v>
      </c>
      <c r="F6" s="16" t="n">
        <v>2029</v>
      </c>
      <c r="G6" s="17" t="n">
        <v>109.4</v>
      </c>
      <c r="H6" s="17" t="n">
        <v>324.3</v>
      </c>
      <c r="I6" s="15" t="s">
        <v>48</v>
      </c>
      <c r="J6" s="15" t="s">
        <v>17</v>
      </c>
      <c r="K6" s="18" t="n">
        <f aca="false">F6-E6</f>
        <v>6</v>
      </c>
    </row>
    <row r="7" customFormat="false" ht="15" hidden="false" customHeight="true" outlineLevel="0" collapsed="false">
      <c r="A7" s="15" t="s">
        <v>49</v>
      </c>
      <c r="B7" s="15" t="s">
        <v>45</v>
      </c>
      <c r="C7" s="16" t="n">
        <v>1441469</v>
      </c>
      <c r="D7" s="15" t="s">
        <v>50</v>
      </c>
      <c r="E7" s="16" t="n">
        <v>2022</v>
      </c>
      <c r="F7" s="16" t="n">
        <v>2028</v>
      </c>
      <c r="G7" s="17" t="n">
        <v>13.45</v>
      </c>
      <c r="H7" s="17" t="n">
        <v>105.5</v>
      </c>
      <c r="I7" s="15" t="s">
        <v>50</v>
      </c>
      <c r="J7" s="15" t="s">
        <v>14</v>
      </c>
      <c r="K7" s="18" t="n">
        <f aca="false">F7-E7</f>
        <v>6</v>
      </c>
    </row>
    <row r="8" customFormat="false" ht="15" hidden="false" customHeight="true" outlineLevel="0" collapsed="false">
      <c r="A8" s="15" t="s">
        <v>51</v>
      </c>
      <c r="B8" s="15" t="s">
        <v>45</v>
      </c>
      <c r="C8" s="16" t="n">
        <v>1477322</v>
      </c>
      <c r="D8" s="15" t="s">
        <v>50</v>
      </c>
      <c r="E8" s="16" t="n">
        <v>2023</v>
      </c>
      <c r="F8" s="16" t="n">
        <v>2029</v>
      </c>
      <c r="G8" s="17" t="n">
        <v>14.12</v>
      </c>
      <c r="H8" s="17" t="n">
        <v>86.35</v>
      </c>
      <c r="I8" s="15" t="s">
        <v>50</v>
      </c>
      <c r="J8" s="15" t="s">
        <v>14</v>
      </c>
      <c r="K8" s="18" t="n">
        <f aca="false">F8-E8</f>
        <v>6</v>
      </c>
    </row>
    <row r="9" customFormat="false" ht="15" hidden="false" customHeight="true" outlineLevel="0" collapsed="false">
      <c r="A9" s="15" t="s">
        <v>52</v>
      </c>
      <c r="B9" s="15" t="s">
        <v>45</v>
      </c>
      <c r="C9" s="16" t="n">
        <v>1484167</v>
      </c>
      <c r="D9" s="15" t="s">
        <v>50</v>
      </c>
      <c r="E9" s="16" t="n">
        <v>2023</v>
      </c>
      <c r="F9" s="16" t="n">
        <v>2028</v>
      </c>
      <c r="G9" s="17" t="n">
        <v>619.6</v>
      </c>
      <c r="H9" s="17" t="n">
        <v>2649</v>
      </c>
      <c r="I9" s="15" t="s">
        <v>50</v>
      </c>
      <c r="J9" s="15" t="s">
        <v>14</v>
      </c>
      <c r="K9" s="18" t="n">
        <f aca="false">F9-E9</f>
        <v>5</v>
      </c>
    </row>
    <row r="10" customFormat="false" ht="15" hidden="false" customHeight="true" outlineLevel="0" collapsed="false">
      <c r="A10" s="15" t="s">
        <v>53</v>
      </c>
      <c r="B10" s="15" t="s">
        <v>45</v>
      </c>
      <c r="C10" s="16" t="n">
        <v>1499736</v>
      </c>
      <c r="D10" s="15" t="s">
        <v>54</v>
      </c>
      <c r="E10" s="16" t="n">
        <v>2023</v>
      </c>
      <c r="F10" s="16" t="n">
        <v>2029</v>
      </c>
      <c r="G10" s="17" t="n">
        <v>0.4426</v>
      </c>
      <c r="H10" s="17" t="n">
        <v>7.137</v>
      </c>
      <c r="I10" s="15" t="s">
        <v>50</v>
      </c>
      <c r="J10" s="15" t="s">
        <v>14</v>
      </c>
      <c r="K10" s="18" t="n">
        <f aca="false">F10-E10</f>
        <v>6</v>
      </c>
    </row>
    <row r="11" customFormat="false" ht="15" hidden="false" customHeight="true" outlineLevel="0" collapsed="false">
      <c r="A11" s="15" t="s">
        <v>55</v>
      </c>
      <c r="B11" s="15" t="s">
        <v>45</v>
      </c>
      <c r="C11" s="16" t="n">
        <v>1499740</v>
      </c>
      <c r="D11" s="15" t="s">
        <v>54</v>
      </c>
      <c r="E11" s="16" t="n">
        <v>2023</v>
      </c>
      <c r="F11" s="16" t="n">
        <v>2029</v>
      </c>
      <c r="G11" s="17" t="n">
        <v>0.3906</v>
      </c>
      <c r="H11" s="17" t="n">
        <v>6.42</v>
      </c>
      <c r="I11" s="15" t="s">
        <v>50</v>
      </c>
      <c r="J11" s="15" t="s">
        <v>14</v>
      </c>
      <c r="K11" s="18" t="n">
        <f aca="false">F11-E11</f>
        <v>6</v>
      </c>
    </row>
    <row r="12" customFormat="false" ht="15" hidden="false" customHeight="true" outlineLevel="0" collapsed="false">
      <c r="A12" s="15" t="s">
        <v>56</v>
      </c>
      <c r="B12" s="15" t="s">
        <v>45</v>
      </c>
      <c r="C12" s="16" t="n">
        <v>1553214</v>
      </c>
      <c r="D12" s="15" t="s">
        <v>50</v>
      </c>
      <c r="E12" s="16" t="n">
        <v>2023</v>
      </c>
      <c r="F12" s="16" t="n">
        <v>2029</v>
      </c>
      <c r="G12" s="17" t="n">
        <v>5.13</v>
      </c>
      <c r="H12" s="17" t="n">
        <v>19.85</v>
      </c>
      <c r="I12" s="15" t="s">
        <v>50</v>
      </c>
      <c r="J12" s="15" t="s">
        <v>14</v>
      </c>
      <c r="K12" s="18" t="n">
        <f aca="false">F12-E12</f>
        <v>6</v>
      </c>
    </row>
    <row r="13" customFormat="false" ht="15" hidden="false" customHeight="true" outlineLevel="0" collapsed="false">
      <c r="A13" s="15" t="s">
        <v>57</v>
      </c>
      <c r="B13" s="15" t="s">
        <v>45</v>
      </c>
      <c r="C13" s="16" t="n">
        <v>1553215</v>
      </c>
      <c r="D13" s="15" t="s">
        <v>50</v>
      </c>
      <c r="E13" s="16" t="n">
        <v>2023</v>
      </c>
      <c r="F13" s="16" t="n">
        <v>2029</v>
      </c>
      <c r="G13" s="17" t="n">
        <v>46.58</v>
      </c>
      <c r="H13" s="17" t="n">
        <v>236.1</v>
      </c>
      <c r="I13" s="15" t="s">
        <v>50</v>
      </c>
      <c r="J13" s="15" t="s">
        <v>14</v>
      </c>
      <c r="K13" s="18" t="n">
        <f aca="false">F13-E13</f>
        <v>6</v>
      </c>
    </row>
  </sheetData>
  <autoFilter ref="A4:L13"/>
  <mergeCells count="1">
    <mergeCell ref="A2:L2"/>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&amp;LMarketSelect country panel</oddHeader>
    <oddFooter>&amp;RPage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6" width="20"/>
    <col collapsed="false" customWidth="true" hidden="false" outlineLevel="0" max="12" min="2" style="6" width="18"/>
  </cols>
  <sheetData>
    <row r="1" customFormat="false" ht="15" hidden="false" customHeight="true" outlineLevel="0" collapsed="false">
      <c r="A1" s="7" t="s">
        <v>58</v>
      </c>
    </row>
    <row r="2" customFormat="false" ht="31.5" hidden="false" customHeight="true" outlineLevel="0" collapsed="false">
      <c r="A2" s="8" t="s">
        <v>59</v>
      </c>
      <c r="B2" s="8"/>
      <c r="C2" s="8"/>
      <c r="D2" s="8"/>
      <c r="E2" s="8"/>
      <c r="F2" s="8"/>
      <c r="G2" s="8"/>
      <c r="H2" s="8"/>
      <c r="I2" s="8"/>
      <c r="J2" s="8"/>
      <c r="K2" s="8"/>
      <c r="L2" s="8"/>
    </row>
    <row r="4" customFormat="false" ht="15" hidden="false" customHeight="true" outlineLevel="0" collapsed="false">
      <c r="A4" s="14" t="s">
        <v>0</v>
      </c>
      <c r="B4" s="14" t="s">
        <v>1</v>
      </c>
      <c r="C4" s="14" t="s">
        <v>2</v>
      </c>
      <c r="D4" s="14" t="s">
        <v>3</v>
      </c>
      <c r="E4" s="14" t="s">
        <v>4</v>
      </c>
      <c r="F4" s="14" t="s">
        <v>5</v>
      </c>
      <c r="G4" s="14" t="s">
        <v>6</v>
      </c>
      <c r="H4" s="14" t="s">
        <v>7</v>
      </c>
      <c r="I4" s="14" t="s">
        <v>8</v>
      </c>
      <c r="J4" s="14" t="s">
        <v>34</v>
      </c>
      <c r="K4" s="14" t="s">
        <v>36</v>
      </c>
      <c r="L4" s="14" t="s">
        <v>37</v>
      </c>
    </row>
    <row r="5" customFormat="false" ht="15" hidden="false" customHeight="true" outlineLevel="0" collapsed="false">
      <c r="A5" s="19" t="str">
        <f aca="false">source!A5</f>
        <v>United Kingdom</v>
      </c>
      <c r="B5" s="19" t="str">
        <f aca="false">source!B5</f>
        <v>Europe</v>
      </c>
      <c r="C5" s="20" t="n">
        <f aca="false">source!H5*IF(source!J5="EUR",assumptions!$B$5,IF(source!J5="GBP",assumptions!$B$6,assumptions!$B$7))</f>
        <v>811.657</v>
      </c>
      <c r="D5" s="21" t="n">
        <f aca="false">(source!H5/source!G5)^(1/source!K5)-1</f>
        <v>0.254197538609248</v>
      </c>
      <c r="E5" s="22" t="n">
        <f aca="false">assumptions!$B$10</f>
        <v>0.5</v>
      </c>
      <c r="F5" s="20" t="n">
        <f aca="false">assumptions!$B$13*G5</f>
        <v>16.23314</v>
      </c>
      <c r="G5" s="20" t="n">
        <f aca="false">MAX(1,assumptions!$B$11*C5)</f>
        <v>64.93256</v>
      </c>
      <c r="H5" s="20" t="n">
        <f aca="false">MAX(G5,assumptions!$B$12*C5)</f>
        <v>284.07995</v>
      </c>
      <c r="I5" s="22" t="n">
        <f aca="false">assumptions!$B$14+assumptions!$B$15*(1-C5/MAX($C$5:$C$13))</f>
        <v>0.58651804314696</v>
      </c>
      <c r="J5" s="23" t="n">
        <f aca="false">source!C5</f>
        <v>1411503</v>
      </c>
      <c r="K5" s="23" t="n">
        <f aca="false">source!E5</f>
        <v>2023</v>
      </c>
      <c r="L5" s="23" t="n">
        <f aca="false">source!F5</f>
        <v>2029</v>
      </c>
    </row>
    <row r="6" customFormat="false" ht="15" hidden="false" customHeight="true" outlineLevel="0" collapsed="false">
      <c r="A6" s="19" t="str">
        <f aca="false">source!A6</f>
        <v>Norway</v>
      </c>
      <c r="B6" s="19" t="str">
        <f aca="false">source!B6</f>
        <v>Europe</v>
      </c>
      <c r="C6" s="20" t="n">
        <f aca="false">source!H6*IF(source!J6="EUR",assumptions!$B$5,IF(source!J6="GBP",assumptions!$B$6,assumptions!$B$7))</f>
        <v>324.3</v>
      </c>
      <c r="D6" s="21" t="n">
        <f aca="false">(source!H6/source!G6)^(1/source!K6)-1</f>
        <v>0.198546637333201</v>
      </c>
      <c r="E6" s="22" t="n">
        <f aca="false">assumptions!$B$10</f>
        <v>0.5</v>
      </c>
      <c r="F6" s="20" t="n">
        <f aca="false">assumptions!$B$13*G6</f>
        <v>6.486</v>
      </c>
      <c r="G6" s="20" t="n">
        <f aca="false">MAX(1,assumptions!$B$11*C6)</f>
        <v>25.944</v>
      </c>
      <c r="H6" s="20" t="n">
        <f aca="false">MAX(G6,assumptions!$B$12*C6)</f>
        <v>113.505</v>
      </c>
      <c r="I6" s="22" t="n">
        <f aca="false">assumptions!$B$14+assumptions!$B$15*(1-C6/MAX($C$5:$C$13))</f>
        <v>0.654657942200411</v>
      </c>
      <c r="J6" s="23" t="n">
        <f aca="false">source!C6</f>
        <v>1413409</v>
      </c>
      <c r="K6" s="23" t="n">
        <f aca="false">source!E6</f>
        <v>2023</v>
      </c>
      <c r="L6" s="23" t="n">
        <f aca="false">source!F6</f>
        <v>2029</v>
      </c>
    </row>
    <row r="7" customFormat="false" ht="15" hidden="false" customHeight="true" outlineLevel="0" collapsed="false">
      <c r="A7" s="19" t="str">
        <f aca="false">source!A7</f>
        <v>Spain</v>
      </c>
      <c r="B7" s="19" t="str">
        <f aca="false">source!B7</f>
        <v>Europe</v>
      </c>
      <c r="C7" s="20" t="n">
        <f aca="false">source!H7*IF(source!J7="EUR",assumptions!$B$5,IF(source!J7="GBP",assumptions!$B$6,assumptions!$B$7))</f>
        <v>113.94</v>
      </c>
      <c r="D7" s="21" t="n">
        <f aca="false">(source!H7/source!G7)^(1/source!K7)-1</f>
        <v>0.409575564718173</v>
      </c>
      <c r="E7" s="22" t="n">
        <f aca="false">assumptions!$B$10</f>
        <v>0.5</v>
      </c>
      <c r="F7" s="20" t="n">
        <f aca="false">assumptions!$B$13*G7</f>
        <v>2.2788</v>
      </c>
      <c r="G7" s="20" t="n">
        <f aca="false">MAX(1,assumptions!$B$11*C7)</f>
        <v>9.1152</v>
      </c>
      <c r="H7" s="20" t="n">
        <f aca="false">MAX(G7,assumptions!$B$12*C7)</f>
        <v>39.879</v>
      </c>
      <c r="I7" s="22" t="n">
        <f aca="false">assumptions!$B$14+assumptions!$B$15*(1-C7/MAX($C$5:$C$13))</f>
        <v>0.68406946017365</v>
      </c>
      <c r="J7" s="23" t="n">
        <f aca="false">source!C7</f>
        <v>1441469</v>
      </c>
      <c r="K7" s="23" t="n">
        <f aca="false">source!E7</f>
        <v>2022</v>
      </c>
      <c r="L7" s="23" t="n">
        <f aca="false">source!F7</f>
        <v>2028</v>
      </c>
    </row>
    <row r="8" customFormat="false" ht="15" hidden="false" customHeight="true" outlineLevel="0" collapsed="false">
      <c r="A8" s="19" t="str">
        <f aca="false">source!A8</f>
        <v>Finland</v>
      </c>
      <c r="B8" s="19" t="str">
        <f aca="false">source!B8</f>
        <v>Europe</v>
      </c>
      <c r="C8" s="20" t="n">
        <f aca="false">source!H8*IF(source!J8="EUR",assumptions!$B$5,IF(source!J8="GBP",assumptions!$B$6,assumptions!$B$7))</f>
        <v>93.258</v>
      </c>
      <c r="D8" s="21" t="n">
        <f aca="false">(source!H8/source!G8)^(1/source!K8)-1</f>
        <v>0.352294476664658</v>
      </c>
      <c r="E8" s="22" t="n">
        <f aca="false">assumptions!$B$10</f>
        <v>0.5</v>
      </c>
      <c r="F8" s="20" t="n">
        <f aca="false">assumptions!$B$13*G8</f>
        <v>1.86516</v>
      </c>
      <c r="G8" s="20" t="n">
        <f aca="false">MAX(1,assumptions!$B$11*C8)</f>
        <v>7.46064</v>
      </c>
      <c r="H8" s="20" t="n">
        <f aca="false">MAX(G8,assumptions!$B$12*C8)</f>
        <v>32.6403</v>
      </c>
      <c r="I8" s="22" t="n">
        <f aca="false">assumptions!$B$14+assumptions!$B$15*(1-C8/MAX($C$5:$C$13))</f>
        <v>0.686961117402794</v>
      </c>
      <c r="J8" s="23" t="n">
        <f aca="false">source!C8</f>
        <v>1477322</v>
      </c>
      <c r="K8" s="23" t="n">
        <f aca="false">source!E8</f>
        <v>2023</v>
      </c>
      <c r="L8" s="23" t="n">
        <f aca="false">source!F8</f>
        <v>2029</v>
      </c>
    </row>
    <row r="9" customFormat="false" ht="15" hidden="false" customHeight="true" outlineLevel="0" collapsed="false">
      <c r="A9" s="19" t="str">
        <f aca="false">source!A9</f>
        <v>Germany</v>
      </c>
      <c r="B9" s="19" t="str">
        <f aca="false">source!B9</f>
        <v>Europe</v>
      </c>
      <c r="C9" s="20" t="n">
        <f aca="false">source!H9*IF(source!J9="EUR",assumptions!$B$5,IF(source!J9="GBP",assumptions!$B$6,assumptions!$B$7))</f>
        <v>2860.92</v>
      </c>
      <c r="D9" s="21" t="n">
        <f aca="false">(source!H9/source!G9)^(1/source!K9)-1</f>
        <v>0.337193047356412</v>
      </c>
      <c r="E9" s="22" t="n">
        <f aca="false">assumptions!$B$10</f>
        <v>0.5</v>
      </c>
      <c r="F9" s="20" t="n">
        <f aca="false">assumptions!$B$13*G9</f>
        <v>57.2184</v>
      </c>
      <c r="G9" s="20" t="n">
        <f aca="false">MAX(1,assumptions!$B$11*C9)</f>
        <v>228.8736</v>
      </c>
      <c r="H9" s="20" t="n">
        <f aca="false">MAX(G9,assumptions!$B$12*C9)</f>
        <v>1001.322</v>
      </c>
      <c r="I9" s="22" t="n">
        <f aca="false">assumptions!$B$14+assumptions!$B$15*(1-C9/MAX($C$5:$C$13))</f>
        <v>0.3</v>
      </c>
      <c r="J9" s="23" t="n">
        <f aca="false">source!C9</f>
        <v>1484167</v>
      </c>
      <c r="K9" s="23" t="n">
        <f aca="false">source!E9</f>
        <v>2023</v>
      </c>
      <c r="L9" s="23" t="n">
        <f aca="false">source!F9</f>
        <v>2028</v>
      </c>
    </row>
    <row r="10" customFormat="false" ht="15" hidden="false" customHeight="true" outlineLevel="0" collapsed="false">
      <c r="A10" s="19" t="str">
        <f aca="false">source!A10</f>
        <v>Estonia</v>
      </c>
      <c r="B10" s="19" t="str">
        <f aca="false">source!B10</f>
        <v>Europe</v>
      </c>
      <c r="C10" s="20" t="n">
        <f aca="false">source!H10*IF(source!J10="EUR",assumptions!$B$5,IF(source!J10="GBP",assumptions!$B$6,assumptions!$B$7))</f>
        <v>7.70796</v>
      </c>
      <c r="D10" s="21" t="n">
        <f aca="false">(source!H10/source!G10)^(1/source!K10)-1</f>
        <v>0.589464067941792</v>
      </c>
      <c r="E10" s="22" t="n">
        <f aca="false">assumptions!$B$10</f>
        <v>0.5</v>
      </c>
      <c r="F10" s="20" t="n">
        <f aca="false">assumptions!$B$13*G10</f>
        <v>0.25</v>
      </c>
      <c r="G10" s="20" t="n">
        <f aca="false">MAX(1,assumptions!$B$11*C10)</f>
        <v>1</v>
      </c>
      <c r="H10" s="20" t="n">
        <f aca="false">MAX(G10,assumptions!$B$12*C10)</f>
        <v>2.697786</v>
      </c>
      <c r="I10" s="22" t="n">
        <f aca="false">assumptions!$B$14+assumptions!$B$15*(1-C10/MAX($C$5:$C$13))</f>
        <v>0.698922310305776</v>
      </c>
      <c r="J10" s="23" t="n">
        <f aca="false">source!C10</f>
        <v>1499736</v>
      </c>
      <c r="K10" s="23" t="n">
        <f aca="false">source!E10</f>
        <v>2023</v>
      </c>
      <c r="L10" s="23" t="n">
        <f aca="false">source!F10</f>
        <v>2029</v>
      </c>
    </row>
    <row r="11" customFormat="false" ht="15" hidden="false" customHeight="true" outlineLevel="0" collapsed="false">
      <c r="A11" s="19" t="str">
        <f aca="false">source!A11</f>
        <v>Latvia</v>
      </c>
      <c r="B11" s="19" t="str">
        <f aca="false">source!B11</f>
        <v>Europe</v>
      </c>
      <c r="C11" s="20" t="n">
        <f aca="false">source!H11*IF(source!J11="EUR",assumptions!$B$5,IF(source!J11="GBP",assumptions!$B$6,assumptions!$B$7))</f>
        <v>6.9336</v>
      </c>
      <c r="D11" s="21" t="n">
        <f aca="false">(source!H11/source!G11)^(1/source!K11)-1</f>
        <v>0.59453405182357</v>
      </c>
      <c r="E11" s="22" t="n">
        <f aca="false">assumptions!$B$10</f>
        <v>0.5</v>
      </c>
      <c r="F11" s="20" t="n">
        <f aca="false">assumptions!$B$13*G11</f>
        <v>0.25</v>
      </c>
      <c r="G11" s="20" t="n">
        <f aca="false">MAX(1,assumptions!$B$11*C11)</f>
        <v>1</v>
      </c>
      <c r="H11" s="20" t="n">
        <f aca="false">MAX(G11,assumptions!$B$12*C11)</f>
        <v>2.42676</v>
      </c>
      <c r="I11" s="22" t="n">
        <f aca="false">assumptions!$B$14+assumptions!$B$15*(1-C11/MAX($C$5:$C$13))</f>
        <v>0.699030577576444</v>
      </c>
      <c r="J11" s="23" t="n">
        <f aca="false">source!C11</f>
        <v>1499740</v>
      </c>
      <c r="K11" s="23" t="n">
        <f aca="false">source!E11</f>
        <v>2023</v>
      </c>
      <c r="L11" s="23" t="n">
        <f aca="false">source!F11</f>
        <v>2029</v>
      </c>
    </row>
    <row r="12" customFormat="false" ht="15" hidden="false" customHeight="true" outlineLevel="0" collapsed="false">
      <c r="A12" s="19" t="str">
        <f aca="false">source!A12</f>
        <v>Iceland</v>
      </c>
      <c r="B12" s="19" t="str">
        <f aca="false">source!B12</f>
        <v>Europe</v>
      </c>
      <c r="C12" s="20" t="n">
        <f aca="false">source!H12*IF(source!J12="EUR",assumptions!$B$5,IF(source!J12="GBP",assumptions!$B$6,assumptions!$B$7))</f>
        <v>21.438</v>
      </c>
      <c r="D12" s="21" t="n">
        <f aca="false">(source!H12/source!G12)^(1/source!K12)-1</f>
        <v>0.252969571779648</v>
      </c>
      <c r="E12" s="22" t="n">
        <f aca="false">assumptions!$B$10</f>
        <v>0.5</v>
      </c>
      <c r="F12" s="20" t="n">
        <f aca="false">assumptions!$B$13*G12</f>
        <v>0.42876</v>
      </c>
      <c r="G12" s="20" t="n">
        <f aca="false">MAX(1,assumptions!$B$11*C12)</f>
        <v>1.71504</v>
      </c>
      <c r="H12" s="20" t="n">
        <f aca="false">MAX(G12,assumptions!$B$12*C12)</f>
        <v>7.5033</v>
      </c>
      <c r="I12" s="22" t="n">
        <f aca="false">assumptions!$B$14+assumptions!$B$15*(1-C12/MAX($C$5:$C$13))</f>
        <v>0.697002642506606</v>
      </c>
      <c r="J12" s="23" t="n">
        <f aca="false">source!C12</f>
        <v>1553214</v>
      </c>
      <c r="K12" s="23" t="n">
        <f aca="false">source!E12</f>
        <v>2023</v>
      </c>
      <c r="L12" s="23" t="n">
        <f aca="false">source!F12</f>
        <v>2029</v>
      </c>
    </row>
    <row r="13" customFormat="false" ht="15" hidden="false" customHeight="true" outlineLevel="0" collapsed="false">
      <c r="A13" s="19" t="str">
        <f aca="false">source!A13</f>
        <v>Denmark</v>
      </c>
      <c r="B13" s="19" t="str">
        <f aca="false">source!B13</f>
        <v>Europe</v>
      </c>
      <c r="C13" s="20" t="n">
        <f aca="false">source!H13*IF(source!J13="EUR",assumptions!$B$5,IF(source!J13="GBP",assumptions!$B$6,assumptions!$B$7))</f>
        <v>254.988</v>
      </c>
      <c r="D13" s="21" t="n">
        <f aca="false">(source!H13/source!G13)^(1/source!K13)-1</f>
        <v>0.310637984773728</v>
      </c>
      <c r="E13" s="22" t="n">
        <f aca="false">assumptions!$B$10</f>
        <v>0.5</v>
      </c>
      <c r="F13" s="20" t="n">
        <f aca="false">assumptions!$B$13*G13</f>
        <v>5.09976</v>
      </c>
      <c r="G13" s="20" t="n">
        <f aca="false">MAX(1,assumptions!$B$11*C13)</f>
        <v>20.39904</v>
      </c>
      <c r="H13" s="20" t="n">
        <f aca="false">MAX(G13,assumptions!$B$12*C13)</f>
        <v>89.2458</v>
      </c>
      <c r="I13" s="22" t="n">
        <f aca="false">assumptions!$B$14+assumptions!$B$15*(1-C13/MAX($C$5:$C$13))</f>
        <v>0.664348810872027</v>
      </c>
      <c r="J13" s="23" t="n">
        <f aca="false">source!C13</f>
        <v>1553215</v>
      </c>
      <c r="K13" s="23" t="n">
        <f aca="false">source!E13</f>
        <v>2023</v>
      </c>
      <c r="L13" s="23" t="n">
        <f aca="false">source!F13</f>
        <v>2029</v>
      </c>
    </row>
  </sheetData>
  <autoFilter ref="A4:L13"/>
  <mergeCells count="1">
    <mergeCell ref="A2:L2"/>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&amp;LMarketSelect country panel</oddHeader>
    <oddFooter>&amp;RPage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6" width="20"/>
    <col collapsed="false" customWidth="true" hidden="false" outlineLevel="0" max="2" min="2" style="6" width="14"/>
    <col collapsed="false" customWidth="true" hidden="false" outlineLevel="0" max="3" min="3" style="6" width="78"/>
    <col collapsed="false" customWidth="true" hidden="false" outlineLevel="0" max="5" min="4" style="6" width="18"/>
    <col collapsed="false" customWidth="true" hidden="false" outlineLevel="0" max="6" min="6" style="6" width="46"/>
    <col collapsed="false" customWidth="true" hidden="false" outlineLevel="0" max="7" min="7" style="6" width="14"/>
  </cols>
  <sheetData>
    <row r="1" customFormat="false" ht="15" hidden="false" customHeight="true" outlineLevel="0" collapsed="false">
      <c r="A1" s="7" t="s">
        <v>60</v>
      </c>
    </row>
    <row r="2" customFormat="false" ht="31.5" hidden="false" customHeight="true" outlineLevel="0" collapsed="false">
      <c r="A2" s="8" t="s">
        <v>61</v>
      </c>
      <c r="B2" s="8"/>
      <c r="C2" s="8"/>
      <c r="D2" s="8"/>
      <c r="E2" s="8"/>
      <c r="F2" s="8"/>
      <c r="G2" s="8"/>
    </row>
    <row r="4" customFormat="false" ht="15" hidden="false" customHeight="true" outlineLevel="0" collapsed="false">
      <c r="A4" s="14" t="s">
        <v>0</v>
      </c>
      <c r="B4" s="14" t="s">
        <v>34</v>
      </c>
      <c r="C4" s="14" t="s">
        <v>62</v>
      </c>
      <c r="D4" s="14" t="s">
        <v>63</v>
      </c>
      <c r="E4" s="14" t="s">
        <v>64</v>
      </c>
      <c r="F4" s="14" t="s">
        <v>43</v>
      </c>
      <c r="G4" s="14" t="s">
        <v>65</v>
      </c>
    </row>
    <row r="5" customFormat="false" ht="31.5" hidden="false" customHeight="true" outlineLevel="0" collapsed="false">
      <c r="A5" s="24" t="str">
        <f aca="false">source!A5</f>
        <v>United Kingdom</v>
      </c>
      <c r="B5" s="25" t="n">
        <f aca="false">source!C5</f>
        <v>1411503</v>
      </c>
      <c r="C5" s="26" t="s">
        <v>66</v>
      </c>
      <c r="D5" s="24" t="str">
        <f aca="false">source!D5</f>
        <v>million GBP</v>
      </c>
      <c r="E5" s="26" t="str">
        <f aca="false">source!E5&amp;"-"&amp;source!F5</f>
        <v>2023-2029</v>
      </c>
      <c r="F5" s="24" t="n">
        <f aca="false">source!L5</f>
        <v>0</v>
      </c>
      <c r="G5" s="27" t="s">
        <v>67</v>
      </c>
    </row>
    <row r="6" customFormat="false" ht="31.5" hidden="false" customHeight="true" outlineLevel="0" collapsed="false">
      <c r="A6" s="24" t="str">
        <f aca="false">source!A6</f>
        <v>Norway</v>
      </c>
      <c r="B6" s="25" t="n">
        <f aca="false">source!C6</f>
        <v>1413409</v>
      </c>
      <c r="C6" s="26" t="s">
        <v>68</v>
      </c>
      <c r="D6" s="24" t="str">
        <f aca="false">source!D6</f>
        <v>million USD</v>
      </c>
      <c r="E6" s="26" t="str">
        <f aca="false">source!E6&amp;"-"&amp;source!F6</f>
        <v>2023-2029</v>
      </c>
      <c r="F6" s="24" t="n">
        <f aca="false">source!L6</f>
        <v>0</v>
      </c>
      <c r="G6" s="27" t="s">
        <v>69</v>
      </c>
    </row>
    <row r="7" customFormat="false" ht="31.5" hidden="false" customHeight="true" outlineLevel="0" collapsed="false">
      <c r="A7" s="24" t="str">
        <f aca="false">source!A7</f>
        <v>Spain</v>
      </c>
      <c r="B7" s="25" t="n">
        <f aca="false">source!C7</f>
        <v>1441469</v>
      </c>
      <c r="C7" s="26" t="s">
        <v>70</v>
      </c>
      <c r="D7" s="24" t="str">
        <f aca="false">source!D7</f>
        <v>million EUR</v>
      </c>
      <c r="E7" s="26" t="str">
        <f aca="false">source!E7&amp;"-"&amp;source!F7</f>
        <v>2022-2028</v>
      </c>
      <c r="F7" s="24" t="n">
        <f aca="false">source!L7</f>
        <v>0</v>
      </c>
      <c r="G7" s="27" t="s">
        <v>71</v>
      </c>
    </row>
    <row r="8" customFormat="false" ht="31.5" hidden="false" customHeight="true" outlineLevel="0" collapsed="false">
      <c r="A8" s="24" t="str">
        <f aca="false">source!A8</f>
        <v>Finland</v>
      </c>
      <c r="B8" s="25" t="n">
        <f aca="false">source!C8</f>
        <v>1477322</v>
      </c>
      <c r="C8" s="26" t="s">
        <v>72</v>
      </c>
      <c r="D8" s="24" t="str">
        <f aca="false">source!D8</f>
        <v>million EUR</v>
      </c>
      <c r="E8" s="26" t="str">
        <f aca="false">source!E8&amp;"-"&amp;source!F8</f>
        <v>2023-2029</v>
      </c>
      <c r="F8" s="24" t="n">
        <f aca="false">source!L8</f>
        <v>0</v>
      </c>
      <c r="G8" s="27" t="s">
        <v>67</v>
      </c>
    </row>
    <row r="9" customFormat="false" ht="31.5" hidden="false" customHeight="true" outlineLevel="0" collapsed="false">
      <c r="A9" s="24" t="str">
        <f aca="false">source!A9</f>
        <v>Germany</v>
      </c>
      <c r="B9" s="25" t="n">
        <f aca="false">source!C9</f>
        <v>1484167</v>
      </c>
      <c r="C9" s="26" t="s">
        <v>73</v>
      </c>
      <c r="D9" s="24" t="str">
        <f aca="false">source!D9</f>
        <v>million EUR</v>
      </c>
      <c r="E9" s="26" t="str">
        <f aca="false">source!E9&amp;"-"&amp;source!F9</f>
        <v>2023-2028</v>
      </c>
      <c r="F9" s="24" t="n">
        <f aca="false">source!L9</f>
        <v>0</v>
      </c>
      <c r="G9" s="27" t="s">
        <v>71</v>
      </c>
    </row>
    <row r="10" customFormat="false" ht="31.5" hidden="false" customHeight="true" outlineLevel="0" collapsed="false">
      <c r="A10" s="24" t="str">
        <f aca="false">source!A10</f>
        <v>Estonia</v>
      </c>
      <c r="B10" s="25" t="n">
        <f aca="false">source!C10</f>
        <v>1499736</v>
      </c>
      <c r="C10" s="26" t="s">
        <v>74</v>
      </c>
      <c r="D10" s="24" t="str">
        <f aca="false">source!D10</f>
        <v>thousand EUR</v>
      </c>
      <c r="E10" s="26" t="str">
        <f aca="false">source!E10&amp;"-"&amp;source!F10</f>
        <v>2023-2029</v>
      </c>
      <c r="F10" s="24" t="n">
        <f aca="false">source!L10</f>
        <v>0</v>
      </c>
      <c r="G10" s="27" t="s">
        <v>75</v>
      </c>
    </row>
    <row r="11" customFormat="false" ht="31.5" hidden="false" customHeight="true" outlineLevel="0" collapsed="false">
      <c r="A11" s="24" t="str">
        <f aca="false">source!A11</f>
        <v>Latvia</v>
      </c>
      <c r="B11" s="25" t="n">
        <f aca="false">source!C11</f>
        <v>1499740</v>
      </c>
      <c r="C11" s="26" t="s">
        <v>76</v>
      </c>
      <c r="D11" s="24" t="str">
        <f aca="false">source!D11</f>
        <v>thousand EUR</v>
      </c>
      <c r="E11" s="26" t="str">
        <f aca="false">source!E11&amp;"-"&amp;source!F11</f>
        <v>2023-2029</v>
      </c>
      <c r="F11" s="24" t="n">
        <f aca="false">source!L11</f>
        <v>0</v>
      </c>
      <c r="G11" s="27" t="s">
        <v>75</v>
      </c>
    </row>
    <row r="12" customFormat="false" ht="31.5" hidden="false" customHeight="true" outlineLevel="0" collapsed="false">
      <c r="A12" s="24" t="str">
        <f aca="false">source!A12</f>
        <v>Iceland</v>
      </c>
      <c r="B12" s="25" t="n">
        <f aca="false">source!C12</f>
        <v>1553214</v>
      </c>
      <c r="C12" s="26" t="s">
        <v>77</v>
      </c>
      <c r="D12" s="24" t="str">
        <f aca="false">source!D12</f>
        <v>million EUR</v>
      </c>
      <c r="E12" s="26" t="str">
        <f aca="false">source!E12&amp;"-"&amp;source!F12</f>
        <v>2023-2029</v>
      </c>
      <c r="F12" s="24" t="n">
        <f aca="false">source!L12</f>
        <v>0</v>
      </c>
      <c r="G12" s="27" t="s">
        <v>78</v>
      </c>
    </row>
    <row r="13" customFormat="false" ht="31.5" hidden="false" customHeight="true" outlineLevel="0" collapsed="false">
      <c r="A13" s="24" t="str">
        <f aca="false">source!A13</f>
        <v>Denmark</v>
      </c>
      <c r="B13" s="25" t="n">
        <f aca="false">source!C13</f>
        <v>1553215</v>
      </c>
      <c r="C13" s="26" t="s">
        <v>79</v>
      </c>
      <c r="D13" s="24" t="str">
        <f aca="false">source!D13</f>
        <v>million EUR</v>
      </c>
      <c r="E13" s="26" t="str">
        <f aca="false">source!E13&amp;"-"&amp;source!F13</f>
        <v>2023-2029</v>
      </c>
      <c r="F13" s="24" t="n">
        <f aca="false">source!L13</f>
        <v>0</v>
      </c>
      <c r="G13" s="27" t="s">
        <v>78</v>
      </c>
    </row>
  </sheetData>
  <mergeCells count="1">
    <mergeCell ref="A2:G2"/>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&amp;LMarketSelect country panel</oddHeader>
    <oddFooter>&amp;RPage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2026-10-04T16:50:27Z</dcterms:created>
  <dc:creator>openpyxl</dc:creator>
  <dc:description/>
  <dc:language>en-US</dc:language>
  <cp:lastModifiedBy/>
  <dcterms:modified xsi:type="dcterms:W3CDTF">2026-10-04T16:51:04Z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